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追踪表RTM" sheetId="1" state="visible" r:id="rId1"/>
    <sheet name="需求统计" sheetId="2" state="visible" r:id="rId2"/>
  </sheets>
  <definedNames>
    <definedName name="_xlnm._FilterDatabase" localSheetId="0" hidden="1">'需求追踪表RTM'!$A$1:$L$1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0" customWidth="1" min="4" max="4"/>
    <col width="15" customWidth="1" min="5" max="5"/>
    <col width="15" customWidth="1" min="6" max="6"/>
    <col width="25" customWidth="1" min="7" max="7"/>
    <col width="25" customWidth="1" min="8" max="8"/>
    <col width="30" customWidth="1" min="9" max="9"/>
    <col width="10" customWidth="1" min="10" max="10"/>
    <col width="12" customWidth="1" min="11" max="11"/>
    <col width="20" customWidth="1" min="12" max="12"/>
  </cols>
  <sheetData>
    <row r="1">
      <c r="A1" s="1" t="inlineStr">
        <is>
          <t>需求ID</t>
        </is>
      </c>
      <c r="B1" s="1" t="inlineStr">
        <is>
          <t>需求描述</t>
        </is>
      </c>
      <c r="C1" s="1" t="inlineStr">
        <is>
          <t>需求来源</t>
        </is>
      </c>
      <c r="D1" s="1" t="inlineStr">
        <is>
          <t>优先级</t>
        </is>
      </c>
      <c r="E1" s="1" t="inlineStr">
        <is>
          <t>模块</t>
        </is>
      </c>
      <c r="F1" s="1" t="inlineStr">
        <is>
          <t>子模块</t>
        </is>
      </c>
      <c r="G1" s="1" t="inlineStr">
        <is>
          <t>设计文档</t>
        </is>
      </c>
      <c r="H1" s="1" t="inlineStr">
        <is>
          <t>开发任务</t>
        </is>
      </c>
      <c r="I1" s="1" t="inlineStr">
        <is>
          <t>测试用例</t>
        </is>
      </c>
      <c r="J1" s="1" t="inlineStr">
        <is>
          <t>状态</t>
        </is>
      </c>
      <c r="K1" s="1" t="inlineStr">
        <is>
          <t>负责人</t>
        </is>
      </c>
      <c r="L1" s="1" t="inlineStr">
        <is>
          <t>备注</t>
        </is>
      </c>
    </row>
    <row r="2">
      <c r="A2" s="2" t="inlineStr">
        <is>
          <t>REQ-001</t>
        </is>
      </c>
      <c r="B2" s="2" t="inlineStr">
        <is>
          <t>邀请码注册制（V1.0为邀请码注册）</t>
        </is>
      </c>
      <c r="C2" s="2" t="inlineStr">
        <is>
          <t>产品需求说明书</t>
        </is>
      </c>
      <c r="D2" s="2" t="inlineStr">
        <is>
          <t>高</t>
        </is>
      </c>
      <c r="E2" s="2" t="inlineStr">
        <is>
          <t>用户系统</t>
        </is>
      </c>
      <c r="F2" s="2" t="inlineStr">
        <is>
          <t>注册登录</t>
        </is>
      </c>
      <c r="G2" s="2" t="inlineStr">
        <is>
          <t>用户注册流程设计</t>
        </is>
      </c>
      <c r="H2" s="2" t="inlineStr">
        <is>
          <t>实现注册API、邀请码验证</t>
        </is>
      </c>
      <c r="I2" s="2" t="inlineStr">
        <is>
          <t>TC-001:邀请码正确可注册</t>
        </is>
      </c>
      <c r="J2" s="3" t="inlineStr">
        <is>
          <t>未开始</t>
        </is>
      </c>
      <c r="K2" s="2" t="inlineStr"/>
      <c r="L2" s="2" t="inlineStr"/>
    </row>
    <row r="3">
      <c r="A3" s="2" t="inlineStr">
        <is>
          <t>REQ-002</t>
        </is>
      </c>
      <c r="B3" s="2" t="inlineStr">
        <is>
          <t>手机号/微信登录</t>
        </is>
      </c>
      <c r="C3" s="2" t="inlineStr">
        <is>
          <t>产品需求说明书</t>
        </is>
      </c>
      <c r="D3" s="2" t="inlineStr">
        <is>
          <t>高</t>
        </is>
      </c>
      <c r="E3" s="2" t="inlineStr">
        <is>
          <t>用户系统</t>
        </is>
      </c>
      <c r="F3" s="2" t="inlineStr">
        <is>
          <t>注册登录</t>
        </is>
      </c>
      <c r="G3" s="2" t="inlineStr">
        <is>
          <t>登录流程设计</t>
        </is>
      </c>
      <c r="H3" s="2" t="inlineStr">
        <is>
          <t>实现登录API、JWT Token生成</t>
        </is>
      </c>
      <c r="I3" s="2" t="inlineStr">
        <is>
          <t>TC-002:登录成功返回Token</t>
        </is>
      </c>
      <c r="J3" s="3" t="inlineStr">
        <is>
          <t>未开始</t>
        </is>
      </c>
      <c r="K3" s="2" t="inlineStr"/>
      <c r="L3" s="2" t="inlineStr"/>
    </row>
    <row r="4">
      <c r="A4" s="2" t="inlineStr">
        <is>
          <t>REQ-003</t>
        </is>
      </c>
      <c r="B4" s="2" t="inlineStr">
        <is>
          <t>个人资料（头像、签名20字、守护灵）</t>
        </is>
      </c>
      <c r="C4" s="2" t="inlineStr">
        <is>
          <t>产品需求说明书</t>
        </is>
      </c>
      <c r="D4" s="2" t="inlineStr">
        <is>
          <t>中</t>
        </is>
      </c>
      <c r="E4" s="2" t="inlineStr">
        <is>
          <t>用户系统</t>
        </is>
      </c>
      <c r="F4" s="2" t="inlineStr">
        <is>
          <t>个人资料</t>
        </is>
      </c>
      <c r="G4" s="2" t="inlineStr">
        <is>
          <t>个人资料页面设计</t>
        </is>
      </c>
      <c r="H4" s="2" t="inlineStr">
        <is>
          <t>实现个人资料API</t>
        </is>
      </c>
      <c r="I4" s="2" t="inlineStr">
        <is>
          <t>TC-003:签名过AI内容安全</t>
        </is>
      </c>
      <c r="J4" s="3" t="inlineStr">
        <is>
          <t>未开始</t>
        </is>
      </c>
      <c r="K4" s="2" t="inlineStr"/>
      <c r="L4" s="2" t="inlineStr"/>
    </row>
    <row r="5">
      <c r="A5" s="2" t="inlineStr">
        <is>
          <t>REQ-004</t>
        </is>
      </c>
      <c r="B5" s="2" t="inlineStr">
        <is>
          <t>账号安全（修改密码、注销账号）</t>
        </is>
      </c>
      <c r="C5" s="2" t="inlineStr">
        <is>
          <t>产品需求说明书</t>
        </is>
      </c>
      <c r="D5" s="2" t="inlineStr">
        <is>
          <t>中</t>
        </is>
      </c>
      <c r="E5" s="2" t="inlineStr">
        <is>
          <t>用户系统</t>
        </is>
      </c>
      <c r="F5" s="2" t="inlineStr">
        <is>
          <t>账号安全</t>
        </is>
      </c>
      <c r="G5" s="2" t="inlineStr">
        <is>
          <t>安全流程设计</t>
        </is>
      </c>
      <c r="H5" s="2" t="inlineStr">
        <is>
          <t>实现密码修改、账号注销API</t>
        </is>
      </c>
      <c r="I5" s="2" t="inlineStr">
        <is>
          <t>TC-004:密码修改成功</t>
        </is>
      </c>
      <c r="J5" s="3" t="inlineStr">
        <is>
          <t>未开始</t>
        </is>
      </c>
      <c r="K5" s="2" t="inlineStr"/>
      <c r="L5" s="2" t="inlineStr"/>
    </row>
    <row r="6">
      <c r="A6" s="2" t="inlineStr">
        <is>
          <t>REQ-005</t>
        </is>
      </c>
      <c r="B6" s="2" t="inlineStr">
        <is>
          <t>用户角色权限（6种角色）</t>
        </is>
      </c>
      <c r="C6" s="2" t="inlineStr">
        <is>
          <t>产品需求说明书</t>
        </is>
      </c>
      <c r="D6" s="2" t="inlineStr">
        <is>
          <t>高</t>
        </is>
      </c>
      <c r="E6" s="2" t="inlineStr">
        <is>
          <t>用户系统</t>
        </is>
      </c>
      <c r="F6" s="2" t="inlineStr">
        <is>
          <t>权限管理</t>
        </is>
      </c>
      <c r="G6" s="2" t="inlineStr">
        <is>
          <t>权限矩阵设计</t>
        </is>
      </c>
      <c r="H6" s="2" t="inlineStr">
        <is>
          <t>实现权限校验逻辑</t>
        </is>
      </c>
      <c r="I6" s="2" t="inlineStr">
        <is>
          <t>TC-005:权限正确校验</t>
        </is>
      </c>
      <c r="J6" s="3" t="inlineStr">
        <is>
          <t>未开始</t>
        </is>
      </c>
      <c r="K6" s="2" t="inlineStr"/>
      <c r="L6" s="2" t="inlineStr"/>
    </row>
    <row r="7">
      <c r="A7" s="2" t="inlineStr">
        <is>
          <t>REQ-006</t>
        </is>
      </c>
      <c r="B7" s="2" t="inlineStr">
        <is>
          <t>注册时随机分配坐标（保证与邀请人在±10格内）</t>
        </is>
      </c>
      <c r="C7" s="2" t="inlineStr">
        <is>
          <t>产品需求说明书</t>
        </is>
      </c>
      <c r="D7" s="2" t="inlineStr">
        <is>
          <t>高</t>
        </is>
      </c>
      <c r="E7" s="2" t="inlineStr">
        <is>
          <t>领地系统</t>
        </is>
      </c>
      <c r="F7" s="2" t="inlineStr">
        <is>
          <t>坐标分配</t>
        </is>
      </c>
      <c r="G7" s="2" t="inlineStr">
        <is>
          <t>坐标分配算法设计</t>
        </is>
      </c>
      <c r="H7" s="2" t="inlineStr">
        <is>
          <t>实现坐标分配算法、防重叠机制</t>
        </is>
      </c>
      <c r="I7" s="2" t="inlineStr">
        <is>
          <t>TC-006:坐标不重叠</t>
        </is>
      </c>
      <c r="J7" s="3" t="inlineStr">
        <is>
          <t>未开始</t>
        </is>
      </c>
      <c r="K7" s="2" t="inlineStr"/>
      <c r="L7" s="2" t="inlineStr"/>
    </row>
    <row r="8">
      <c r="A8" s="2" t="inlineStr">
        <is>
          <t>REQ-007</t>
        </is>
      </c>
      <c r="B8" s="2" t="inlineStr">
        <is>
          <t>坐标分配算法（防重叠、邻居匹配）</t>
        </is>
      </c>
      <c r="C8" s="2" t="inlineStr">
        <is>
          <t>产品需求说明书</t>
        </is>
      </c>
      <c r="D8" s="2" t="inlineStr">
        <is>
          <t>高</t>
        </is>
      </c>
      <c r="E8" s="2" t="inlineStr">
        <is>
          <t>领地系统</t>
        </is>
      </c>
      <c r="F8" s="2" t="inlineStr">
        <is>
          <t>坐标分配</t>
        </is>
      </c>
      <c r="G8" s="2" t="inlineStr">
        <is>
          <t>算法详细设计</t>
        </is>
      </c>
      <c r="H8" s="2" t="inlineStr">
        <is>
          <t>实现坐标分配核心算法</t>
        </is>
      </c>
      <c r="I8" s="2" t="inlineStr">
        <is>
          <t>TC-007:邻居关系正确</t>
        </is>
      </c>
      <c r="J8" s="3" t="inlineStr">
        <is>
          <t>未开始</t>
        </is>
      </c>
      <c r="K8" s="2" t="inlineStr"/>
      <c r="L8" s="2" t="inlineStr"/>
    </row>
    <row r="9">
      <c r="A9" s="2" t="inlineStr">
        <is>
          <t>REQ-008</t>
        </is>
      </c>
      <c r="B9" s="2" t="inlineStr">
        <is>
          <t>领地升级Lv.1~Lv.5</t>
        </is>
      </c>
      <c r="C9" s="2" t="inlineStr">
        <is>
          <t>产品需求说明书</t>
        </is>
      </c>
      <c r="D9" s="2" t="inlineStr">
        <is>
          <t>高</t>
        </is>
      </c>
      <c r="E9" s="2" t="inlineStr">
        <is>
          <t>领地系统</t>
        </is>
      </c>
      <c r="F9" s="2" t="inlineStr">
        <is>
          <t>领地升级</t>
        </is>
      </c>
      <c r="G9" s="2" t="inlineStr">
        <is>
          <t>升级规则设计</t>
        </is>
      </c>
      <c r="H9" s="2" t="inlineStr">
        <is>
          <t>实现经验值计算、升级逻辑</t>
        </is>
      </c>
      <c r="I9" s="2" t="inlineStr">
        <is>
          <t>TC-008:经验值正确累加</t>
        </is>
      </c>
      <c r="J9" s="3" t="inlineStr">
        <is>
          <t>未开始</t>
        </is>
      </c>
      <c r="K9" s="2" t="inlineStr"/>
      <c r="L9" s="2" t="inlineStr"/>
    </row>
    <row r="10">
      <c r="A10" s="2" t="inlineStr">
        <is>
          <t>REQ-009</t>
        </is>
      </c>
      <c r="B10" s="2" t="inlineStr">
        <is>
          <t>经验值获取规则（签到/发帖/邀请/防御）</t>
        </is>
      </c>
      <c r="C10" s="2" t="inlineStr">
        <is>
          <t>产品需求说明书</t>
        </is>
      </c>
      <c r="D10" s="2" t="inlineStr">
        <is>
          <t>高</t>
        </is>
      </c>
      <c r="E10" s="2" t="inlineStr">
        <is>
          <t>领地系统</t>
        </is>
      </c>
      <c r="F10" s="2" t="inlineStr">
        <is>
          <t>领地升级</t>
        </is>
      </c>
      <c r="G10" s="2" t="inlineStr">
        <is>
          <t>经验值规则设计</t>
        </is>
      </c>
      <c r="H10" s="2" t="inlineStr">
        <is>
          <t>实现经验值计算逻辑</t>
        </is>
      </c>
      <c r="I10" s="2" t="inlineStr">
        <is>
          <t>TC-009:经验值获取正确</t>
        </is>
      </c>
      <c r="J10" s="3" t="inlineStr">
        <is>
          <t>未开始</t>
        </is>
      </c>
      <c r="K10" s="2" t="inlineStr"/>
      <c r="L10" s="2" t="inlineStr"/>
    </row>
    <row r="11">
      <c r="A11" s="2" t="inlineStr">
        <is>
          <t>REQ-010</t>
        </is>
      </c>
      <c r="B11" s="2" t="inlineStr">
        <is>
          <t>5套固定元素图（按守护灵类型）</t>
        </is>
      </c>
      <c r="C11" s="2" t="inlineStr">
        <is>
          <t>产品需求说明书</t>
        </is>
      </c>
      <c r="D11" s="2" t="inlineStr">
        <is>
          <t>中</t>
        </is>
      </c>
      <c r="E11" s="2" t="inlineStr">
        <is>
          <t>领地系统</t>
        </is>
      </c>
      <c r="F11" s="2" t="inlineStr">
        <is>
          <t>视觉展示</t>
        </is>
      </c>
      <c r="G11" s="2" t="inlineStr">
        <is>
          <t>元素图资源设计</t>
        </is>
      </c>
      <c r="H11" s="2" t="inlineStr">
        <is>
          <t>实现元素图展示逻辑</t>
        </is>
      </c>
      <c r="I11" s="2" t="inlineStr">
        <is>
          <t>TC-010:元素图正确展示</t>
        </is>
      </c>
      <c r="J11" s="3" t="inlineStr">
        <is>
          <t>未开始</t>
        </is>
      </c>
      <c r="K11" s="2" t="inlineStr"/>
      <c r="L11" s="2" t="inlineStr"/>
    </row>
    <row r="12">
      <c r="A12" s="2" t="inlineStr">
        <is>
          <t>REQ-011</t>
        </is>
      </c>
      <c r="B12" s="2" t="inlineStr">
        <is>
          <t>查看坐标±10格范围内邻居</t>
        </is>
      </c>
      <c r="C12" s="2" t="inlineStr">
        <is>
          <t>产品需求说明书</t>
        </is>
      </c>
      <c r="D12" s="2" t="inlineStr">
        <is>
          <t>高</t>
        </is>
      </c>
      <c r="E12" s="2" t="inlineStr">
        <is>
          <t>地图系统</t>
        </is>
      </c>
      <c r="F12" s="2" t="inlineStr">
        <is>
          <t>地图展示</t>
        </is>
      </c>
      <c r="G12" s="2" t="inlineStr">
        <is>
          <t>地图展示设计</t>
        </is>
      </c>
      <c r="H12" s="2" t="inlineStr">
        <is>
          <t>实现邻居查询API</t>
        </is>
      </c>
      <c r="I12" s="2" t="inlineStr">
        <is>
          <t>TC-011:邻居列表正确</t>
        </is>
      </c>
      <c r="J12" s="3" t="inlineStr">
        <is>
          <t>未开始</t>
        </is>
      </c>
      <c r="K12" s="2" t="inlineStr"/>
      <c r="L12" s="2" t="inlineStr"/>
    </row>
    <row r="13">
      <c r="A13" s="2" t="inlineStr">
        <is>
          <t>REQ-012</t>
        </is>
      </c>
      <c r="B13" s="2" t="inlineStr">
        <is>
          <t>全局地图热力图（后台管理）</t>
        </is>
      </c>
      <c r="C13" s="2" t="inlineStr">
        <is>
          <t>后台管理系统需求</t>
        </is>
      </c>
      <c r="D13" s="2" t="inlineStr">
        <is>
          <t>中</t>
        </is>
      </c>
      <c r="E13" s="2" t="inlineStr">
        <is>
          <t>地图系统</t>
        </is>
      </c>
      <c r="F13" s="2" t="inlineStr">
        <is>
          <t>地图监控</t>
        </is>
      </c>
      <c r="G13" s="2" t="inlineStr">
        <is>
          <t>热力图设计方案</t>
        </is>
      </c>
      <c r="H13" s="2" t="inlineStr">
        <is>
          <t>实现热力图数据API、前端展示</t>
        </is>
      </c>
      <c r="I13" s="2" t="inlineStr">
        <is>
          <t>TC-012:热力图正确展示</t>
        </is>
      </c>
      <c r="J13" s="3" t="inlineStr">
        <is>
          <t>未开始</t>
        </is>
      </c>
      <c r="K13" s="2" t="inlineStr"/>
      <c r="L13" s="2" t="inlineStr"/>
    </row>
    <row r="14">
      <c r="A14" s="2" t="inlineStr">
        <is>
          <t>REQ-013</t>
        </is>
      </c>
      <c r="B14" s="2" t="inlineStr">
        <is>
          <t>无人区野兽潮自动防御</t>
        </is>
      </c>
      <c r="C14" s="2" t="inlineStr">
        <is>
          <t>产品需求说明书</t>
        </is>
      </c>
      <c r="D14" s="2" t="inlineStr">
        <is>
          <t>中</t>
        </is>
      </c>
      <c r="E14" s="2" t="inlineStr">
        <is>
          <t>地图系统</t>
        </is>
      </c>
      <c r="F14" s="2" t="inlineStr">
        <is>
          <t>野兽潮</t>
        </is>
      </c>
      <c r="G14" s="2" t="inlineStr">
        <is>
          <t>野兽潮逻辑设计</t>
        </is>
      </c>
      <c r="H14" s="2" t="inlineStr">
        <is>
          <t>实现野兽潮定时任务、防御逻辑</t>
        </is>
      </c>
      <c r="I14" s="2" t="inlineStr">
        <is>
          <t>TC-013:防御成功获得金币</t>
        </is>
      </c>
      <c r="J14" s="3" t="inlineStr">
        <is>
          <t>未开始</t>
        </is>
      </c>
      <c r="K14" s="2" t="inlineStr"/>
      <c r="L14" s="2" t="inlineStr"/>
    </row>
    <row r="15">
      <c r="A15" s="2" t="inlineStr">
        <is>
          <t>REQ-014</t>
        </is>
      </c>
      <c r="B15" s="2" t="inlineStr">
        <is>
          <t>野兽潮配置（后台管理）</t>
        </is>
      </c>
      <c r="C15" s="2" t="inlineStr">
        <is>
          <t>后台管理系统需求</t>
        </is>
      </c>
      <c r="D15" s="2" t="inlineStr">
        <is>
          <t>中</t>
        </is>
      </c>
      <c r="E15" s="2" t="inlineStr">
        <is>
          <t>地图系统</t>
        </is>
      </c>
      <c r="F15" s="2" t="inlineStr">
        <is>
          <t>野兽潮</t>
        </is>
      </c>
      <c r="G15" s="2" t="inlineStr">
        <is>
          <t>配置界面设计</t>
        </is>
      </c>
      <c r="H15" s="2" t="inlineStr">
        <is>
          <t>实现野兽潮参数配置API</t>
        </is>
      </c>
      <c r="I15" s="2" t="inlineStr">
        <is>
          <t>TC-014:配置正确生效</t>
        </is>
      </c>
      <c r="J15" s="3" t="inlineStr">
        <is>
          <t>未开始</t>
        </is>
      </c>
      <c r="K15" s="2" t="inlineStr"/>
      <c r="L15" s="2" t="inlineStr"/>
    </row>
    <row r="16">
      <c r="A16" s="2" t="inlineStr">
        <is>
          <t>REQ-015</t>
        </is>
      </c>
      <c r="B16" s="2" t="inlineStr">
        <is>
          <t>3种类型守护灵（机械师/精灵/占星师）</t>
        </is>
      </c>
      <c r="C16" s="2" t="inlineStr">
        <is>
          <t>产品需求说明书</t>
        </is>
      </c>
      <c r="D16" s="2" t="inlineStr">
        <is>
          <t>高</t>
        </is>
      </c>
      <c r="E16" s="2" t="inlineStr">
        <is>
          <t>Agent系统</t>
        </is>
      </c>
      <c r="F16" s="2" t="inlineStr">
        <is>
          <t>守护灵管理</t>
        </is>
      </c>
      <c r="G16" s="2" t="inlineStr">
        <is>
          <t>守护灵话术设计</t>
        </is>
      </c>
      <c r="H16" s="2" t="inlineStr">
        <is>
          <t>实现话术模板配置表</t>
        </is>
      </c>
      <c r="I16" s="2" t="inlineStr">
        <is>
          <t>TC-015:话术正确触发</t>
        </is>
      </c>
      <c r="J16" s="3" t="inlineStr">
        <is>
          <t>未开始</t>
        </is>
      </c>
      <c r="K16" s="2" t="inlineStr"/>
      <c r="L16" s="2" t="inlineStr"/>
    </row>
    <row r="17">
      <c r="A17" s="2" t="inlineStr">
        <is>
          <t>REQ-016</t>
        </is>
      </c>
      <c r="B17" s="2" t="inlineStr">
        <is>
          <t>固定话术模板+条件触发</t>
        </is>
      </c>
      <c r="C17" s="2" t="inlineStr">
        <is>
          <t>产品需求说明书</t>
        </is>
      </c>
      <c r="D17" s="2" t="inlineStr">
        <is>
          <t>高</t>
        </is>
      </c>
      <c r="E17" s="2" t="inlineStr">
        <is>
          <t>Agent系统</t>
        </is>
      </c>
      <c r="F17" s="2" t="inlineStr">
        <is>
          <t>话术触发</t>
        </is>
      </c>
      <c r="G17" s="2" t="inlineStr">
        <is>
          <t>触发机制设计</t>
        </is>
      </c>
      <c r="H17" s="2" t="inlineStr">
        <is>
          <t>实现触发逻辑、OpenIM自定义消息</t>
        </is>
      </c>
      <c r="I17" s="2" t="inlineStr">
        <is>
          <t>TC-016:Agent通知正确发送</t>
        </is>
      </c>
      <c r="J17" s="3" t="inlineStr">
        <is>
          <t>未开始</t>
        </is>
      </c>
      <c r="K17" s="2" t="inlineStr"/>
      <c r="L17" s="2" t="inlineStr"/>
    </row>
    <row r="18">
      <c r="A18" s="2" t="inlineStr">
        <is>
          <t>REQ-017</t>
        </is>
      </c>
      <c r="B18" s="2" t="inlineStr">
        <is>
          <t>Agent对话日志存储</t>
        </is>
      </c>
      <c r="C18" s="2" t="inlineStr">
        <is>
          <t>技术架构与接口文档</t>
        </is>
      </c>
      <c r="D18" s="2" t="inlineStr">
        <is>
          <t>中</t>
        </is>
      </c>
      <c r="E18" s="2" t="inlineStr">
        <is>
          <t>Agent系统</t>
        </is>
      </c>
      <c r="F18" s="2" t="inlineStr">
        <is>
          <t>数据存储</t>
        </is>
      </c>
      <c r="G18" s="2" t="inlineStr">
        <is>
          <t>日志存储设计</t>
        </is>
      </c>
      <c r="H18" s="2" t="inlineStr">
        <is>
          <t>实现agent_dialogues表、存储逻辑</t>
        </is>
      </c>
      <c r="I18" s="2" t="inlineStr">
        <is>
          <t>TC-017:日志正确存储</t>
        </is>
      </c>
      <c r="J18" s="3" t="inlineStr">
        <is>
          <t>未开始</t>
        </is>
      </c>
      <c r="K18" s="2" t="inlineStr"/>
      <c r="L18" s="2" t="inlineStr"/>
    </row>
    <row r="19">
      <c r="A19" s="2" t="inlineStr">
        <is>
          <t>REQ-018</t>
        </is>
      </c>
      <c r="B19" s="2" t="inlineStr">
        <is>
          <t>每个用户唯一邀请码</t>
        </is>
      </c>
      <c r="C19" s="2" t="inlineStr">
        <is>
          <t>产品需求说明书</t>
        </is>
      </c>
      <c r="D19" s="2" t="inlineStr">
        <is>
          <t>高</t>
        </is>
      </c>
      <c r="E19" s="2" t="inlineStr">
        <is>
          <t>邀请系统</t>
        </is>
      </c>
      <c r="F19" s="2" t="inlineStr">
        <is>
          <t>邀请码管理</t>
        </is>
      </c>
      <c r="G19" s="2" t="inlineStr">
        <is>
          <t>邀请码生成算法设计</t>
        </is>
      </c>
      <c r="H19" s="2" t="inlineStr">
        <is>
          <t>实现邀请码生成API</t>
        </is>
      </c>
      <c r="I19" s="2" t="inlineStr">
        <is>
          <t>TC-018:邀请码唯一</t>
        </is>
      </c>
      <c r="J19" s="3" t="inlineStr">
        <is>
          <t>未开始</t>
        </is>
      </c>
      <c r="K19" s="2" t="inlineStr"/>
      <c r="L19" s="2" t="inlineStr"/>
    </row>
    <row r="20">
      <c r="A20" s="2" t="inlineStr">
        <is>
          <t>REQ-019</t>
        </is>
      </c>
      <c r="B20" s="2" t="inlineStr">
        <is>
          <t>邀请进度追踪</t>
        </is>
      </c>
      <c r="C20" s="2" t="inlineStr">
        <is>
          <t>产品需求说明书</t>
        </is>
      </c>
      <c r="D20" s="2" t="inlineStr">
        <is>
          <t>中</t>
        </is>
      </c>
      <c r="E20" s="2" t="inlineStr">
        <is>
          <t>邀请系统</t>
        </is>
      </c>
      <c r="F20" s="2" t="inlineStr">
        <is>
          <t>进度管理</t>
        </is>
      </c>
      <c r="G20" s="2" t="inlineStr">
        <is>
          <t>进度计算逻辑设计</t>
        </is>
      </c>
      <c r="H20" s="2" t="inlineStr">
        <is>
          <t>实现进度查询API</t>
        </is>
      </c>
      <c r="I20" s="2" t="inlineStr">
        <is>
          <t>TC-019:进度正确计数</t>
        </is>
      </c>
      <c r="J20" s="3" t="inlineStr">
        <is>
          <t>未开始</t>
        </is>
      </c>
      <c r="K20" s="2" t="inlineStr"/>
      <c r="L20" s="2" t="inlineStr"/>
    </row>
    <row r="21">
      <c r="A21" s="2" t="inlineStr">
        <is>
          <t>REQ-020</t>
        </is>
      </c>
      <c r="B21" s="2" t="inlineStr">
        <is>
          <t>邀请≥3人自动生成个人小程序</t>
        </is>
      </c>
      <c r="C21" s="2" t="inlineStr">
        <is>
          <t>产品需求说明书</t>
        </is>
      </c>
      <c r="D21" s="2" t="inlineStr">
        <is>
          <t>高</t>
        </is>
      </c>
      <c r="E21" s="2" t="inlineStr">
        <is>
          <t>邀请系统</t>
        </is>
      </c>
      <c r="F21" s="2" t="inlineStr">
        <is>
          <t>小程序生成</t>
        </is>
      </c>
      <c r="G21" s="2" t="inlineStr">
        <is>
          <t>小程序生成流程设计</t>
        </is>
      </c>
      <c r="H21" s="2" t="inlineStr">
        <is>
          <t>实现小程序码生成、存储逻辑</t>
        </is>
      </c>
      <c r="I21" s="2" t="inlineStr">
        <is>
          <t>TC-020:小程序正确生成</t>
        </is>
      </c>
      <c r="J21" s="3" t="inlineStr">
        <is>
          <t>未开始</t>
        </is>
      </c>
      <c r="K21" s="2" t="inlineStr"/>
      <c r="L21" s="2" t="inlineStr"/>
    </row>
    <row r="22">
      <c r="A22" s="2" t="inlineStr">
        <is>
          <t>REQ-021</t>
        </is>
      </c>
      <c r="B22" s="2" t="inlineStr">
        <is>
          <t>小程序页面（领地展示、邀请进度）</t>
        </is>
      </c>
      <c r="C22" s="2" t="inlineStr">
        <is>
          <t>营销与引流渠道需求</t>
        </is>
      </c>
      <c r="D22" s="2" t="inlineStr">
        <is>
          <t>高</t>
        </is>
      </c>
      <c r="E22" s="2" t="inlineStr">
        <is>
          <t>邀请系统</t>
        </is>
      </c>
      <c r="F22" s="2" t="inlineStr">
        <is>
          <t>小程序展示</t>
        </is>
      </c>
      <c r="G22" s="2" t="inlineStr">
        <is>
          <t>小程序页面设计</t>
        </is>
      </c>
      <c r="H22" s="2" t="inlineStr">
        <is>
          <t>实现小程序前端页面</t>
        </is>
      </c>
      <c r="I22" s="2" t="inlineStr">
        <is>
          <t>TC-021:小程序页面正确展示</t>
        </is>
      </c>
      <c r="J22" s="3" t="inlineStr">
        <is>
          <t>未开始</t>
        </is>
      </c>
      <c r="K22" s="2" t="inlineStr"/>
      <c r="L22" s="2" t="inlineStr"/>
    </row>
    <row r="23">
      <c r="A23" s="2" t="inlineStr">
        <is>
          <t>REQ-022</t>
        </is>
      </c>
      <c r="B23" s="2" t="inlineStr">
        <is>
          <t>小程序分享能力（生成小程序码）</t>
        </is>
      </c>
      <c r="C23" s="2" t="inlineStr">
        <is>
          <t>营销与引流渠道需求</t>
        </is>
      </c>
      <c r="D23" s="2" t="inlineStr">
        <is>
          <t>高</t>
        </is>
      </c>
      <c r="E23" s="2" t="inlineStr">
        <is>
          <t>邀请系统</t>
        </is>
      </c>
      <c r="F23" s="2" t="inlineStr">
        <is>
          <t>小程序分享</t>
        </is>
      </c>
      <c r="G23" s="2" t="inlineStr">
        <is>
          <t>分享功能设计</t>
        </is>
      </c>
      <c r="H23" s="2" t="inlineStr">
        <is>
          <t>实现小程序码生成、分享逻辑</t>
        </is>
      </c>
      <c r="I23" s="2" t="inlineStr">
        <is>
          <t>TC-022:分享功能正常</t>
        </is>
      </c>
      <c r="J23" s="3" t="inlineStr">
        <is>
          <t>未开始</t>
        </is>
      </c>
      <c r="K23" s="2" t="inlineStr"/>
      <c r="L23" s="2" t="inlineStr"/>
    </row>
    <row r="24">
      <c r="A24" s="2" t="inlineStr">
        <is>
          <t>REQ-023</t>
        </is>
      </c>
      <c r="B24" s="2" t="inlineStr">
        <is>
          <t>防刷机制（设备ID绑定、活跃度要求）</t>
        </is>
      </c>
      <c r="C24" s="2" t="inlineStr">
        <is>
          <t>营销与引流渠道需求</t>
        </is>
      </c>
      <c r="D24" s="2" t="inlineStr">
        <is>
          <t>高</t>
        </is>
      </c>
      <c r="E24" s="2" t="inlineStr">
        <is>
          <t>邀请系统</t>
        </is>
      </c>
      <c r="F24" s="2" t="inlineStr">
        <is>
          <t>安全防护</t>
        </is>
      </c>
      <c r="G24" s="2" t="inlineStr">
        <is>
          <t>防刷机制设计</t>
        </is>
      </c>
      <c r="H24" s="2" t="inlineStr">
        <is>
          <t>实现防刷逻辑</t>
        </is>
      </c>
      <c r="I24" s="2" t="inlineStr">
        <is>
          <t>TC-023:刷邀请码被阻止</t>
        </is>
      </c>
      <c r="J24" s="3" t="inlineStr">
        <is>
          <t>未开始</t>
        </is>
      </c>
      <c r="K24" s="2" t="inlineStr"/>
      <c r="L24" s="2" t="inlineStr"/>
    </row>
    <row r="25">
      <c r="A25" s="2" t="inlineStr">
        <is>
          <t>REQ-024</t>
        </is>
      </c>
      <c r="B25" s="2" t="inlineStr">
        <is>
          <t>按游戏名称创建俱乐部（需Lv.2以上）</t>
        </is>
      </c>
      <c r="C25" s="2" t="inlineStr">
        <is>
          <t>产品需求说明书</t>
        </is>
      </c>
      <c r="D25" s="2" t="inlineStr">
        <is>
          <t>高</t>
        </is>
      </c>
      <c r="E25" s="2" t="inlineStr">
        <is>
          <t>俱乐部系统</t>
        </is>
      </c>
      <c r="F25" s="2" t="inlineStr">
        <is>
          <t>俱乐部管理</t>
        </is>
      </c>
      <c r="G25" s="2" t="inlineStr">
        <is>
          <t>俱乐部创建流程设计</t>
        </is>
      </c>
      <c r="H25" s="2" t="inlineStr">
        <is>
          <t>实现创建俱乐部API、OpenIM群组创建</t>
        </is>
      </c>
      <c r="I25" s="2" t="inlineStr">
        <is>
          <t>TC-024:俱乐部创建成功</t>
        </is>
      </c>
      <c r="J25" s="3" t="inlineStr">
        <is>
          <t>未开始</t>
        </is>
      </c>
      <c r="K25" s="2" t="inlineStr"/>
      <c r="L25" s="2" t="inlineStr"/>
    </row>
    <row r="26">
      <c r="A26" s="2" t="inlineStr">
        <is>
          <t>REQ-025</t>
        </is>
      </c>
      <c r="B26" s="2" t="inlineStr">
        <is>
          <t>发帖（500字）/回帖（200字）</t>
        </is>
      </c>
      <c r="C26" s="2" t="inlineStr">
        <is>
          <t>产品需求说明书</t>
        </is>
      </c>
      <c r="D26" s="2" t="inlineStr">
        <is>
          <t>高</t>
        </is>
      </c>
      <c r="E26" s="2" t="inlineStr">
        <is>
          <t>俱乐部系统</t>
        </is>
      </c>
      <c r="F26" s="2" t="inlineStr">
        <is>
          <t>帖子管理</t>
        </is>
      </c>
      <c r="G26" s="2" t="inlineStr">
        <is>
          <t>帖子发布流程设计</t>
        </is>
      </c>
      <c r="H26" s="2" t="inlineStr">
        <is>
          <t>实现发帖、回帖API</t>
        </is>
      </c>
      <c r="I26" s="2" t="inlineStr">
        <is>
          <t>TC-025:帖子内容过AI审核</t>
        </is>
      </c>
      <c r="J26" s="3" t="inlineStr">
        <is>
          <t>未开始</t>
        </is>
      </c>
      <c r="K26" s="2" t="inlineStr"/>
      <c r="L26" s="2" t="inlineStr"/>
    </row>
    <row r="27">
      <c r="A27" s="2" t="inlineStr">
        <is>
          <t>REQ-026</t>
        </is>
      </c>
      <c r="B27" s="2" t="inlineStr">
        <is>
          <t>帖子AI内容安全审核</t>
        </is>
      </c>
      <c r="C27" s="2" t="inlineStr">
        <is>
          <t>后台管理系统需求</t>
        </is>
      </c>
      <c r="D27" s="2" t="inlineStr">
        <is>
          <t>高</t>
        </is>
      </c>
      <c r="E27" s="2" t="inlineStr">
        <is>
          <t>俱乐部系统</t>
        </is>
      </c>
      <c r="F27" s="2" t="inlineStr">
        <is>
          <t>内容审核</t>
        </is>
      </c>
      <c r="G27" s="2" t="inlineStr">
        <is>
          <t>审核流程设计</t>
        </is>
      </c>
      <c r="H27" s="2" t="inlineStr">
        <is>
          <t>实现腾讯云内容安全API对接</t>
        </is>
      </c>
      <c r="I27" s="2" t="inlineStr">
        <is>
          <t>TC-026:AI审核正确</t>
        </is>
      </c>
      <c r="J27" s="3" t="inlineStr">
        <is>
          <t>未开始</t>
        </is>
      </c>
      <c r="K27" s="2" t="inlineStr"/>
      <c r="L27" s="2" t="inlineStr"/>
    </row>
    <row r="28">
      <c r="A28" s="2" t="inlineStr">
        <is>
          <t>REQ-027</t>
        </is>
      </c>
      <c r="B28" s="2" t="inlineStr">
        <is>
          <t>俱乐部管理员指定</t>
        </is>
      </c>
      <c r="C28" s="2" t="inlineStr">
        <is>
          <t>后台管理系统需求</t>
        </is>
      </c>
      <c r="D28" s="2" t="inlineStr">
        <is>
          <t>中</t>
        </is>
      </c>
      <c r="E28" s="2" t="inlineStr">
        <is>
          <t>俱乐部系统</t>
        </is>
      </c>
      <c r="F28" s="2" t="inlineStr">
        <is>
          <t>权限管理</t>
        </is>
      </c>
      <c r="G28" s="2" t="inlineStr">
        <is>
          <t>管理员指定流程设计</t>
        </is>
      </c>
      <c r="H28" s="2" t="inlineStr">
        <is>
          <t>实现管理员指定API</t>
        </is>
      </c>
      <c r="I28" s="2" t="inlineStr">
        <is>
          <t>TC-027:管理员正确指定</t>
        </is>
      </c>
      <c r="J28" s="3" t="inlineStr">
        <is>
          <t>未开始</t>
        </is>
      </c>
      <c r="K28" s="2" t="inlineStr"/>
      <c r="L28" s="2" t="inlineStr"/>
    </row>
    <row r="29">
      <c r="A29" s="2" t="inlineStr">
        <is>
          <t>REQ-028</t>
        </is>
      </c>
      <c r="B29" s="2" t="inlineStr">
        <is>
          <t>虚拟道具（金币兑换：头像框200、chat气泡150）</t>
        </is>
      </c>
      <c r="C29" s="2" t="inlineStr">
        <is>
          <t>产品需求说明书</t>
        </is>
      </c>
      <c r="D29" s="2" t="inlineStr">
        <is>
          <t>中</t>
        </is>
      </c>
      <c r="E29" s="2" t="inlineStr">
        <is>
          <t>商城系统</t>
        </is>
      </c>
      <c r="F29" s="2" t="inlineStr">
        <is>
          <t>道具管理</t>
        </is>
      </c>
      <c r="G29" s="2" t="inlineStr">
        <is>
          <t>商城界面设计</t>
        </is>
      </c>
      <c r="H29" s="2" t="inlineStr">
        <is>
          <t>实现道具列表、兑换API</t>
        </is>
      </c>
      <c r="I29" s="2" t="inlineStr">
        <is>
          <t>TC-028:兑换成功扣除金币</t>
        </is>
      </c>
      <c r="J29" s="3" t="inlineStr">
        <is>
          <t>未开始</t>
        </is>
      </c>
      <c r="K29" s="2" t="inlineStr"/>
      <c r="L29" s="2" t="inlineStr"/>
    </row>
    <row r="30">
      <c r="A30" s="2" t="inlineStr">
        <is>
          <t>REQ-029</t>
        </is>
      </c>
      <c r="B30" s="2" t="inlineStr">
        <is>
          <t>金币获取（签到、发帖、邀请、防御野兽潮）</t>
        </is>
      </c>
      <c r="C30" s="2" t="inlineStr">
        <is>
          <t>产品需求说明书</t>
        </is>
      </c>
      <c r="D30" s="2" t="inlineStr">
        <is>
          <t>高</t>
        </is>
      </c>
      <c r="E30" s="2" t="inlineStr">
        <is>
          <t>金币系统</t>
        </is>
      </c>
      <c r="F30" s="2" t="inlineStr">
        <is>
          <t>金币规则</t>
        </is>
      </c>
      <c r="G30" s="2" t="inlineStr">
        <is>
          <t>金币规则设计</t>
        </is>
      </c>
      <c r="H30" s="2" t="inlineStr">
        <is>
          <t>实现金币获取、消耗逻辑</t>
        </is>
      </c>
      <c r="I30" s="2" t="inlineStr">
        <is>
          <t>TC-029:金币余额正确</t>
        </is>
      </c>
      <c r="J30" s="3" t="inlineStr">
        <is>
          <t>未开始</t>
        </is>
      </c>
      <c r="K30" s="2" t="inlineStr"/>
      <c r="L30" s="2" t="inlineStr"/>
    </row>
    <row r="31">
      <c r="A31" s="2" t="inlineStr">
        <is>
          <t>REQ-030</t>
        </is>
      </c>
      <c r="B31" s="2" t="inlineStr">
        <is>
          <t>金币余额上限（99999）</t>
        </is>
      </c>
      <c r="C31" s="2" t="inlineStr">
        <is>
          <t>产品需求说明书</t>
        </is>
      </c>
      <c r="D31" s="2" t="inlineStr">
        <is>
          <t>中</t>
        </is>
      </c>
      <c r="E31" s="2" t="inlineStr">
        <is>
          <t>金币系统</t>
        </is>
      </c>
      <c r="F31" s="2" t="inlineStr">
        <is>
          <t>金币规则</t>
        </is>
      </c>
      <c r="G31" s="2" t="inlineStr">
        <is>
          <t>金币规则设计</t>
        </is>
      </c>
      <c r="H31" s="2" t="inlineStr">
        <is>
          <t>实现金币余额校验逻辑</t>
        </is>
      </c>
      <c r="I31" s="2" t="inlineStr">
        <is>
          <t>TC-030:金币余额上限正确</t>
        </is>
      </c>
      <c r="J31" s="3" t="inlineStr">
        <is>
          <t>未开始</t>
        </is>
      </c>
      <c r="K31" s="2" t="inlineStr"/>
      <c r="L31" s="2" t="inlineStr"/>
    </row>
    <row r="32">
      <c r="A32" s="2" t="inlineStr">
        <is>
          <t>REQ-031</t>
        </is>
      </c>
      <c r="B32" s="2" t="inlineStr">
        <is>
          <t>用户管理（查看、筛选、搜索）</t>
        </is>
      </c>
      <c r="C32" s="2" t="inlineStr">
        <is>
          <t>后台管理系统需求</t>
        </is>
      </c>
      <c r="D32" s="2" t="inlineStr">
        <is>
          <t>高</t>
        </is>
      </c>
      <c r="E32" s="2" t="inlineStr">
        <is>
          <t>后台管理系统</t>
        </is>
      </c>
      <c r="F32" s="2" t="inlineStr">
        <is>
          <t>用户管理</t>
        </is>
      </c>
      <c r="G32" s="2" t="inlineStr">
        <is>
          <t>用户管理界面设计</t>
        </is>
      </c>
      <c r="H32" s="2" t="inlineStr">
        <is>
          <t>实现用户列表API、前端页面</t>
        </is>
      </c>
      <c r="I32" s="2" t="inlineStr">
        <is>
          <t>TC-031:用户列表正确展示</t>
        </is>
      </c>
      <c r="J32" s="3" t="inlineStr">
        <is>
          <t>未开始</t>
        </is>
      </c>
      <c r="K32" s="2" t="inlineStr"/>
      <c r="L32" s="2" t="inlineStr"/>
    </row>
    <row r="33">
      <c r="A33" s="2" t="inlineStr">
        <is>
          <t>REQ-032</t>
        </is>
      </c>
      <c r="B33" s="2" t="inlineStr">
        <is>
          <t>手动发放邀请码（活动或KOL合作）</t>
        </is>
      </c>
      <c r="C33" s="2" t="inlineStr">
        <is>
          <t>后台管理系统需求</t>
        </is>
      </c>
      <c r="D33" s="2" t="inlineStr">
        <is>
          <t>中</t>
        </is>
      </c>
      <c r="E33" s="2" t="inlineStr">
        <is>
          <t>后台管理系统</t>
        </is>
      </c>
      <c r="F33" s="2" t="inlineStr">
        <is>
          <t>用户管理</t>
        </is>
      </c>
      <c r="G33" s="2" t="inlineStr">
        <is>
          <t>邀请码发放流程设计</t>
        </is>
      </c>
      <c r="H33" s="2" t="inlineStr">
        <is>
          <t>实现邀请码发放API</t>
        </is>
      </c>
      <c r="I33" s="2" t="inlineStr">
        <is>
          <t>TC-032:邀请码正确发放</t>
        </is>
      </c>
      <c r="J33" s="3" t="inlineStr">
        <is>
          <t>未开始</t>
        </is>
      </c>
      <c r="K33" s="2" t="inlineStr"/>
      <c r="L33" s="2" t="inlineStr"/>
    </row>
    <row r="34">
      <c r="A34" s="2" t="inlineStr">
        <is>
          <t>REQ-033</t>
        </is>
      </c>
      <c r="B34" s="2" t="inlineStr">
        <is>
          <t>冻结/解冻账号</t>
        </is>
      </c>
      <c r="C34" s="2" t="inlineStr">
        <is>
          <t>后台管理系统需求</t>
        </is>
      </c>
      <c r="D34" s="2" t="inlineStr">
        <is>
          <t>高</t>
        </is>
      </c>
      <c r="E34" s="2" t="inlineStr">
        <is>
          <t>后台管理系统</t>
        </is>
      </c>
      <c r="F34" s="2" t="inlineStr">
        <is>
          <t>用户管理</t>
        </is>
      </c>
      <c r="G34" s="2" t="inlineStr">
        <is>
          <t>账号冻结流程设计</t>
        </is>
      </c>
      <c r="H34" s="2" t="inlineStr">
        <is>
          <t>实现冻结/解冻API</t>
        </is>
      </c>
      <c r="I34" s="2" t="inlineStr">
        <is>
          <t>TC-033:账号冻结成功</t>
        </is>
      </c>
      <c r="J34" s="3" t="inlineStr">
        <is>
          <t>未开始</t>
        </is>
      </c>
      <c r="K34" s="2" t="inlineStr"/>
      <c r="L34" s="2" t="inlineStr"/>
    </row>
    <row r="35">
      <c r="A35" s="2" t="inlineStr">
        <is>
          <t>REQ-034</t>
        </is>
      </c>
      <c r="B35" s="2" t="inlineStr">
        <is>
          <t>查看邀请关系链</t>
        </is>
      </c>
      <c r="C35" s="2" t="inlineStr">
        <is>
          <t>后台管理系统需求</t>
        </is>
      </c>
      <c r="D35" s="2" t="inlineStr">
        <is>
          <t>中</t>
        </is>
      </c>
      <c r="E35" s="2" t="inlineStr">
        <is>
          <t>后台管理系统</t>
        </is>
      </c>
      <c r="F35" s="2" t="inlineStr">
        <is>
          <t>用户管理</t>
        </is>
      </c>
      <c r="G35" s="2" t="inlineStr">
        <is>
          <t>关系链展示设计</t>
        </is>
      </c>
      <c r="H35" s="2" t="inlineStr">
        <is>
          <t>实现邀请关系链查询API</t>
        </is>
      </c>
      <c r="I35" s="2" t="inlineStr">
        <is>
          <t>TC-034:关系链正确展示</t>
        </is>
      </c>
      <c r="J35" s="3" t="inlineStr">
        <is>
          <t>未开始</t>
        </is>
      </c>
      <c r="K35" s="2" t="inlineStr"/>
      <c r="L35" s="2" t="inlineStr"/>
    </row>
    <row r="36">
      <c r="A36" s="2" t="inlineStr">
        <is>
          <t>REQ-035</t>
        </is>
      </c>
      <c r="B36" s="2" t="inlineStr">
        <is>
          <t>内容审核（AI初审+人工复审）</t>
        </is>
      </c>
      <c r="C36" s="2" t="inlineStr">
        <is>
          <t>后台管理系统需求</t>
        </is>
      </c>
      <c r="D36" s="2" t="inlineStr">
        <is>
          <t>高</t>
        </is>
      </c>
      <c r="E36" s="2" t="inlineStr">
        <is>
          <t>后台管理系统</t>
        </is>
      </c>
      <c r="F36" s="2" t="inlineStr">
        <is>
          <t>内容审核</t>
        </is>
      </c>
      <c r="G36" s="2" t="inlineStr">
        <is>
          <t>审核流程设计</t>
        </is>
      </c>
      <c r="H36" s="2" t="inlineStr">
        <is>
          <t>实现审核API、人工复审界面</t>
        </is>
      </c>
      <c r="I36" s="2" t="inlineStr">
        <is>
          <t>TC-035:审核流程正确</t>
        </is>
      </c>
      <c r="J36" s="3" t="inlineStr">
        <is>
          <t>未开始</t>
        </is>
      </c>
      <c r="K36" s="2" t="inlineStr"/>
      <c r="L36" s="2" t="inlineStr"/>
    </row>
    <row r="37">
      <c r="A37" s="2" t="inlineStr">
        <is>
          <t>REQ-036</t>
        </is>
      </c>
      <c r="B37" s="2" t="inlineStr">
        <is>
          <t>敏感词库管理</t>
        </is>
      </c>
      <c r="C37" s="2" t="inlineStr">
        <is>
          <t>后台管理系统需求</t>
        </is>
      </c>
      <c r="D37" s="2" t="inlineStr">
        <is>
          <t>高</t>
        </is>
      </c>
      <c r="E37" s="2" t="inlineStr">
        <is>
          <t>后台管理系统</t>
        </is>
      </c>
      <c r="F37" s="2" t="inlineStr">
        <is>
          <t>内容审核</t>
        </is>
      </c>
      <c r="G37" s="2" t="inlineStr">
        <is>
          <t>敏感词库界面设计</t>
        </is>
      </c>
      <c r="H37" s="2" t="inlineStr">
        <is>
          <t>实现敏感词库管理API</t>
        </is>
      </c>
      <c r="I37" s="2" t="inlineStr">
        <is>
          <t>TC-036:敏感词正确过滤</t>
        </is>
      </c>
      <c r="J37" s="3" t="inlineStr">
        <is>
          <t>未开始</t>
        </is>
      </c>
      <c r="K37" s="2" t="inlineStr"/>
      <c r="L37" s="2" t="inlineStr"/>
    </row>
    <row r="38">
      <c r="A38" s="2" t="inlineStr">
        <is>
          <t>REQ-037</t>
        </is>
      </c>
      <c r="B38" s="2" t="inlineStr">
        <is>
          <t>违规处理梯度（警告→禁言→冻结）</t>
        </is>
      </c>
      <c r="C38" s="2" t="inlineStr">
        <is>
          <t>后台管理系统需求</t>
        </is>
      </c>
      <c r="D38" s="2" t="inlineStr">
        <is>
          <t>高</t>
        </is>
      </c>
      <c r="E38" s="2" t="inlineStr">
        <is>
          <t>后台管理系统</t>
        </is>
      </c>
      <c r="F38" s="2" t="inlineStr">
        <is>
          <t>内容审核</t>
        </is>
      </c>
      <c r="G38" s="2" t="inlineStr">
        <is>
          <t>违规处理流程设计</t>
        </is>
      </c>
      <c r="H38" s="2" t="inlineStr">
        <is>
          <t>实现违规处理逻辑</t>
        </is>
      </c>
      <c r="I38" s="2" t="inlineStr">
        <is>
          <t>TC-037:违规处理正确</t>
        </is>
      </c>
      <c r="J38" s="3" t="inlineStr">
        <is>
          <t>未开始</t>
        </is>
      </c>
      <c r="K38" s="2" t="inlineStr"/>
      <c r="L38" s="2" t="inlineStr"/>
    </row>
    <row r="39">
      <c r="A39" s="2" t="inlineStr">
        <is>
          <t>REQ-038</t>
        </is>
      </c>
      <c r="B39" s="2" t="inlineStr">
        <is>
          <t>数据看板（DAU、留存、K因子等）</t>
        </is>
      </c>
      <c r="C39" s="2" t="inlineStr">
        <is>
          <t>后台管理系统需求</t>
        </is>
      </c>
      <c r="D39" s="2" t="inlineStr">
        <is>
          <t>高</t>
        </is>
      </c>
      <c r="E39" s="2" t="inlineStr">
        <is>
          <t>后台管理系统</t>
        </is>
      </c>
      <c r="F39" s="2" t="inlineStr">
        <is>
          <t>数据分析</t>
        </is>
      </c>
      <c r="G39" s="2" t="inlineStr">
        <is>
          <t>数据看板设计</t>
        </is>
      </c>
      <c r="H39" s="2" t="inlineStr">
        <is>
          <t>实现数据统计API、前端展示</t>
        </is>
      </c>
      <c r="I39" s="2" t="inlineStr">
        <is>
          <t>TC-038:数据正确统计</t>
        </is>
      </c>
      <c r="J39" s="3" t="inlineStr">
        <is>
          <t>未开始</t>
        </is>
      </c>
      <c r="K39" s="2" t="inlineStr"/>
      <c r="L39" s="2" t="inlineStr"/>
    </row>
    <row r="40">
      <c r="A40" s="2" t="inlineStr">
        <is>
          <t>REQ-039</t>
        </is>
      </c>
      <c r="B40" s="2" t="inlineStr">
        <is>
          <t>Webhook中间件（监听用户注册事件）</t>
        </is>
      </c>
      <c r="C40" s="2" t="inlineStr">
        <is>
          <t>技术架构与接口文档</t>
        </is>
      </c>
      <c r="D40" s="2" t="inlineStr">
        <is>
          <t>高</t>
        </is>
      </c>
      <c r="E40" s="2" t="inlineStr">
        <is>
          <t>OpenIM二改</t>
        </is>
      </c>
      <c r="F40" s="2" t="inlineStr">
        <is>
          <t>Webhook对接</t>
        </is>
      </c>
      <c r="G40" s="2" t="inlineStr">
        <is>
          <t>Webhook对接方案设计</t>
        </is>
      </c>
      <c r="H40" s="2" t="inlineStr">
        <is>
          <t>实现Webhook中间件</t>
        </is>
      </c>
      <c r="I40" s="2" t="inlineStr">
        <is>
          <t>TC-039:Webhook正确触发</t>
        </is>
      </c>
      <c r="J40" s="3" t="inlineStr">
        <is>
          <t>未开始</t>
        </is>
      </c>
      <c r="K40" s="2" t="inlineStr"/>
      <c r="L40" s="2" t="inlineStr"/>
    </row>
    <row r="41">
      <c r="A41" s="2" t="inlineStr">
        <is>
          <t>REQ-040</t>
        </is>
      </c>
      <c r="B41" s="2" t="inlineStr">
        <is>
          <t>自定义消息类型（Agent系统通知）</t>
        </is>
      </c>
      <c r="C41" s="2" t="inlineStr">
        <is>
          <t>技术架构与接口文档</t>
        </is>
      </c>
      <c r="D41" s="2" t="inlineStr">
        <is>
          <t>高</t>
        </is>
      </c>
      <c r="E41" s="2" t="inlineStr">
        <is>
          <t>OpenIM二改</t>
        </is>
      </c>
      <c r="F41" s="2" t="inlineStr">
        <is>
          <t>自定义消息</t>
        </is>
      </c>
      <c r="G41" s="2" t="inlineStr">
        <is>
          <t>自定义消息协议设计</t>
        </is>
      </c>
      <c r="H41" s="2" t="inlineStr">
        <is>
          <t>实现自定义消息发送逻辑</t>
        </is>
      </c>
      <c r="I41" s="2" t="inlineStr">
        <is>
          <t>TC-040:自定义消息正确发送</t>
        </is>
      </c>
      <c r="J41" s="3" t="inlineStr">
        <is>
          <t>未开始</t>
        </is>
      </c>
      <c r="K41" s="2" t="inlineStr"/>
      <c r="L41" s="2" t="inlineStr"/>
    </row>
    <row r="42">
      <c r="A42" s="2" t="inlineStr">
        <is>
          <t>REQ-041</t>
        </is>
      </c>
      <c r="B42" s="2" t="inlineStr">
        <is>
          <t>用户体系对接（用户ID一致）</t>
        </is>
      </c>
      <c r="C42" s="2" t="inlineStr">
        <is>
          <t>技术架构与接口文档</t>
        </is>
      </c>
      <c r="D42" s="2" t="inlineStr">
        <is>
          <t>高</t>
        </is>
      </c>
      <c r="E42" s="2" t="inlineStr">
        <is>
          <t>OpenIM二改</t>
        </is>
      </c>
      <c r="F42" s="2" t="inlineStr">
        <is>
          <t>用户体系</t>
        </is>
      </c>
      <c r="G42" s="2" t="inlineStr">
        <is>
          <t>用户体系对接方案设计</t>
        </is>
      </c>
      <c r="H42" s="2" t="inlineStr">
        <is>
          <t>实现用户ID同步逻辑</t>
        </is>
      </c>
      <c r="I42" s="2" t="inlineStr">
        <is>
          <t>TC-041:用户ID一致</t>
        </is>
      </c>
      <c r="J42" s="3" t="inlineStr">
        <is>
          <t>未开始</t>
        </is>
      </c>
      <c r="K42" s="2" t="inlineStr"/>
      <c r="L42" s="2" t="inlineStr"/>
    </row>
    <row r="43">
      <c r="A43" s="2" t="inlineStr">
        <is>
          <t>REQ-042</t>
        </is>
      </c>
      <c r="B43" s="2" t="inlineStr">
        <is>
          <t>群组对接（俱乐部对应OpenIM群组）</t>
        </is>
      </c>
      <c r="C43" s="2" t="inlineStr">
        <is>
          <t>技术架构与接口文档</t>
        </is>
      </c>
      <c r="D43" s="2" t="inlineStr">
        <is>
          <t>高</t>
        </is>
      </c>
      <c r="E43" s="2" t="inlineStr">
        <is>
          <t>OpenIM二改</t>
        </is>
      </c>
      <c r="F43" s="2" t="inlineStr">
        <is>
          <t>群组管理</t>
        </is>
      </c>
      <c r="G43" s="2" t="inlineStr">
        <is>
          <t>群组对接方案设计</t>
        </is>
      </c>
      <c r="H43" s="2" t="inlineStr">
        <is>
          <t>实现群组创建、同步逻辑</t>
        </is>
      </c>
      <c r="I43" s="2" t="inlineStr">
        <is>
          <t>TC-042:群组正确创建</t>
        </is>
      </c>
      <c r="J43" s="3" t="inlineStr">
        <is>
          <t>未开始</t>
        </is>
      </c>
      <c r="K43" s="2" t="inlineStr"/>
      <c r="L43" s="2" t="inlineStr"/>
    </row>
    <row r="44">
      <c r="A44" s="2" t="inlineStr">
        <is>
          <t>REQ-043</t>
        </is>
      </c>
      <c r="B44" s="2" t="inlineStr">
        <is>
          <t>性能：API响应时间≤500ms（P95）</t>
        </is>
      </c>
      <c r="C44" s="2" t="inlineStr">
        <is>
          <t>产品需求说明书</t>
        </is>
      </c>
      <c r="D44" s="2" t="inlineStr">
        <is>
          <t>高</t>
        </is>
      </c>
      <c r="E44" s="2" t="inlineStr">
        <is>
          <t>非功能性需求</t>
        </is>
      </c>
      <c r="F44" s="2" t="inlineStr">
        <is>
          <t>性能</t>
        </is>
      </c>
      <c r="G44" s="2" t="inlineStr">
        <is>
          <t>性能测试方案设计</t>
        </is>
      </c>
      <c r="H44" s="2" t="inlineStr">
        <is>
          <t>实现API性能优化</t>
        </is>
      </c>
      <c r="I44" s="2" t="inlineStr">
        <is>
          <t>TC-043:性能测试通过</t>
        </is>
      </c>
      <c r="J44" s="3" t="inlineStr">
        <is>
          <t>未开始</t>
        </is>
      </c>
      <c r="K44" s="2" t="inlineStr"/>
      <c r="L44" s="2" t="inlineStr"/>
    </row>
    <row r="45">
      <c r="A45" s="2" t="inlineStr">
        <is>
          <t>REQ-044</t>
        </is>
      </c>
      <c r="B45" s="2" t="inlineStr">
        <is>
          <t>安全性：JWT Token认证、密码bcrypt加密</t>
        </is>
      </c>
      <c r="C45" s="2" t="inlineStr">
        <is>
          <t>产品需求说明书</t>
        </is>
      </c>
      <c r="D45" s="2" t="inlineStr">
        <is>
          <t>高</t>
        </is>
      </c>
      <c r="E45" s="2" t="inlineStr">
        <is>
          <t>非功能性需求</t>
        </is>
      </c>
      <c r="F45" s="2" t="inlineStr">
        <is>
          <t>安全性</t>
        </is>
      </c>
      <c r="G45" s="2" t="inlineStr">
        <is>
          <t>安全方案设计</t>
        </is>
      </c>
      <c r="H45" s="2" t="inlineStr">
        <is>
          <t>实现安全机制</t>
        </is>
      </c>
      <c r="I45" s="2" t="inlineStr">
        <is>
          <t>TC-044:安全测试通过</t>
        </is>
      </c>
      <c r="J45" s="3" t="inlineStr">
        <is>
          <t>未开始</t>
        </is>
      </c>
      <c r="K45" s="2" t="inlineStr"/>
      <c r="L45" s="2" t="inlineStr"/>
    </row>
    <row r="46">
      <c r="A46" s="2" t="inlineStr">
        <is>
          <t>REQ-045</t>
        </is>
      </c>
      <c r="B46" s="2" t="inlineStr">
        <is>
          <t>安全性：防CSRF、XSS、SQL注入</t>
        </is>
      </c>
      <c r="C46" s="2" t="inlineStr">
        <is>
          <t>产品需求说明书</t>
        </is>
      </c>
      <c r="D46" s="2" t="inlineStr">
        <is>
          <t>高</t>
        </is>
      </c>
      <c r="E46" s="2" t="inlineStr">
        <is>
          <t>非功能性需求</t>
        </is>
      </c>
      <c r="F46" s="2" t="inlineStr">
        <is>
          <t>安全性</t>
        </is>
      </c>
      <c r="G46" s="2" t="inlineStr">
        <is>
          <t>安全方案设计</t>
        </is>
      </c>
      <c r="H46" s="2" t="inlineStr">
        <is>
          <t>实现安全防护逻辑</t>
        </is>
      </c>
      <c r="I46" s="2" t="inlineStr">
        <is>
          <t>TC-045:安全测试通过</t>
        </is>
      </c>
      <c r="J46" s="3" t="inlineStr">
        <is>
          <t>未开始</t>
        </is>
      </c>
      <c r="K46" s="2" t="inlineStr"/>
      <c r="L46" s="2" t="inlineStr"/>
    </row>
    <row r="47">
      <c r="A47" s="2" t="inlineStr">
        <is>
          <t>REQ-046</t>
        </is>
      </c>
      <c r="B47" s="2" t="inlineStr">
        <is>
          <t>可用性：系统可用性≥99%</t>
        </is>
      </c>
      <c r="C47" s="2" t="inlineStr">
        <is>
          <t>产品需求说明书</t>
        </is>
      </c>
      <c r="D47" s="2" t="inlineStr">
        <is>
          <t>高</t>
        </is>
      </c>
      <c r="E47" s="2" t="inlineStr">
        <is>
          <t>非功能性需求</t>
        </is>
      </c>
      <c r="F47" s="2" t="inlineStr">
        <is>
          <t>可用性</t>
        </is>
      </c>
      <c r="G47" s="2" t="inlineStr">
        <is>
          <t>高可用方案设计</t>
        </is>
      </c>
      <c r="H47" s="2" t="inlineStr">
        <is>
          <t>实现故障转移、监控告警</t>
        </is>
      </c>
      <c r="I47" s="2" t="inlineStr">
        <is>
          <t>TC-046:可用性测试通过</t>
        </is>
      </c>
      <c r="J47" s="3" t="inlineStr">
        <is>
          <t>未开始</t>
        </is>
      </c>
      <c r="K47" s="2" t="inlineStr"/>
      <c r="L47" s="2" t="inlineStr"/>
    </row>
    <row r="48">
      <c r="A48" s="2" t="inlineStr">
        <is>
          <t>REQ-047</t>
        </is>
      </c>
      <c r="B48" s="2" t="inlineStr">
        <is>
          <t>兼容性：iOS 13+、Android 8.0+</t>
        </is>
      </c>
      <c r="C48" s="2" t="inlineStr">
        <is>
          <t>产品需求说明书</t>
        </is>
      </c>
      <c r="D48" s="2" t="inlineStr">
        <is>
          <t>中</t>
        </is>
      </c>
      <c r="E48" s="2" t="inlineStr">
        <is>
          <t>非功能性需求</t>
        </is>
      </c>
      <c r="F48" s="2" t="inlineStr">
        <is>
          <t>兼容性</t>
        </is>
      </c>
      <c r="G48" s="2" t="inlineStr">
        <is>
          <t>兼容性测试方案设计</t>
        </is>
      </c>
      <c r="H48" s="2" t="inlineStr">
        <is>
          <t>实现多端适配</t>
        </is>
      </c>
      <c r="I48" s="2" t="inlineStr">
        <is>
          <t>TC-047:兼容性测试通过</t>
        </is>
      </c>
      <c r="J48" s="3" t="inlineStr">
        <is>
          <t>未开始</t>
        </is>
      </c>
      <c r="K48" s="2" t="inlineStr"/>
      <c r="L48" s="2" t="inlineStr"/>
    </row>
    <row r="49">
      <c r="A49" s="2" t="inlineStr">
        <is>
          <t>REQ-048</t>
        </is>
      </c>
      <c r="B49" s="2" t="inlineStr">
        <is>
          <t>腾讯云内容安全API对接</t>
        </is>
      </c>
      <c r="C49" s="2" t="inlineStr">
        <is>
          <t>技术架构与接口文档</t>
        </is>
      </c>
      <c r="D49" s="2" t="inlineStr">
        <is>
          <t>高</t>
        </is>
      </c>
      <c r="E49" s="2" t="inlineStr">
        <is>
          <t>第三方服务</t>
        </is>
      </c>
      <c r="F49" s="2" t="inlineStr">
        <is>
          <t>内容安全</t>
        </is>
      </c>
      <c r="G49" s="2" t="inlineStr">
        <is>
          <t>API对接方案设计</t>
        </is>
      </c>
      <c r="H49" s="2" t="inlineStr">
        <is>
          <t>实现API对接逻辑</t>
        </is>
      </c>
      <c r="I49" s="2" t="inlineStr">
        <is>
          <t>TC-048:API对接正确</t>
        </is>
      </c>
      <c r="J49" s="3" t="inlineStr">
        <is>
          <t>未开始</t>
        </is>
      </c>
      <c r="K49" s="2" t="inlineStr"/>
      <c r="L49" s="2" t="inlineStr"/>
    </row>
    <row r="50">
      <c r="A50" s="2" t="inlineStr">
        <is>
          <t>REQ-049</t>
        </is>
      </c>
      <c r="B50" s="2" t="inlineStr">
        <is>
          <t>微信小程序API对接（生成小程序码）</t>
        </is>
      </c>
      <c r="C50" s="2" t="inlineStr">
        <is>
          <t>技术架构与接口文档</t>
        </is>
      </c>
      <c r="D50" s="2" t="inlineStr">
        <is>
          <t>高</t>
        </is>
      </c>
      <c r="E50" s="2" t="inlineStr">
        <is>
          <t>第三方服务</t>
        </is>
      </c>
      <c r="F50" s="2" t="inlineStr">
        <is>
          <t>小程序</t>
        </is>
      </c>
      <c r="G50" s="2" t="inlineStr">
        <is>
          <t>API对接方案设计</t>
        </is>
      </c>
      <c r="H50" s="2" t="inlineStr">
        <is>
          <t>实现API对接逻辑</t>
        </is>
      </c>
      <c r="I50" s="2" t="inlineStr">
        <is>
          <t>TC-049:小程序码正确生成</t>
        </is>
      </c>
      <c r="J50" s="3" t="inlineStr">
        <is>
          <t>未开始</t>
        </is>
      </c>
      <c r="K50" s="2" t="inlineStr"/>
      <c r="L50" s="2" t="inlineStr"/>
    </row>
    <row r="51">
      <c r="A51" s="2" t="inlineStr">
        <is>
          <t>REQ-050</t>
        </is>
      </c>
      <c r="B51" s="2" t="inlineStr">
        <is>
          <t>腾讯云Lighthouse部署</t>
        </is>
      </c>
      <c r="C51" s="2" t="inlineStr">
        <is>
          <t>技术架构与接口文档</t>
        </is>
      </c>
      <c r="D51" s="2" t="inlineStr">
        <is>
          <t>高</t>
        </is>
      </c>
      <c r="E51" s="2" t="inlineStr">
        <is>
          <t>第三方服务</t>
        </is>
      </c>
      <c r="F51" s="2" t="inlineStr">
        <is>
          <t>部署</t>
        </is>
      </c>
      <c r="G51" s="2" t="inlineStr">
        <is>
          <t>部署方案设计</t>
        </is>
      </c>
      <c r="H51" s="2" t="inlineStr">
        <is>
          <t>实现Docker Compose部署脚本</t>
        </is>
      </c>
      <c r="I51" s="2" t="inlineStr">
        <is>
          <t>TC-050:部署成功</t>
        </is>
      </c>
      <c r="J51" s="3" t="inlineStr">
        <is>
          <t>未开始</t>
        </is>
      </c>
      <c r="K51" s="2" t="inlineStr"/>
      <c r="L51" s="2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模块</t>
        </is>
      </c>
      <c r="B1" s="1" t="inlineStr">
        <is>
          <t>需求数量</t>
        </is>
      </c>
      <c r="C1" s="1" t="inlineStr">
        <is>
          <t>高优先级</t>
        </is>
      </c>
      <c r="D1" s="1" t="inlineStr">
        <is>
          <t>中优先级</t>
        </is>
      </c>
      <c r="E1" s="1" t="inlineStr">
        <is>
          <t>低优先级</t>
        </is>
      </c>
    </row>
    <row r="2">
      <c r="A2" t="inlineStr">
        <is>
          <t>用户系统</t>
        </is>
      </c>
      <c r="B2">
        <f>COUNTIF(E:E,"用户系统")</f>
        <v/>
      </c>
      <c r="C2">
        <f>COUNTIFS(E:E,"用户系统",D:D,"高")</f>
        <v/>
      </c>
      <c r="D2">
        <f>COUNTIFS(E:E,"用户系统",D:D,"中")</f>
        <v/>
      </c>
      <c r="E2">
        <f>COUNTIFS(E:E,"用户系统",D:D,"低")</f>
        <v/>
      </c>
    </row>
    <row r="3">
      <c r="A3" t="inlineStr">
        <is>
          <t>领地系统</t>
        </is>
      </c>
      <c r="B3">
        <f>COUNTIF(E:E,"领地系统")</f>
        <v/>
      </c>
      <c r="C3">
        <f>COUNTIFS(E:E,"领地系统",D:D,"高")</f>
        <v/>
      </c>
      <c r="D3">
        <f>COUNTIFS(E:E,"领地系统",D:D,"中")</f>
        <v/>
      </c>
      <c r="E3">
        <f>COUNTIFS(E:E,"领地系统",D:D,"低")</f>
        <v/>
      </c>
    </row>
    <row r="4">
      <c r="A4" t="inlineStr">
        <is>
          <t>地图系统</t>
        </is>
      </c>
      <c r="B4">
        <f>COUNTIF(E:E,"地图系统")</f>
        <v/>
      </c>
      <c r="C4">
        <f>COUNTIFS(E:E,"地图系统",D:D,"高")</f>
        <v/>
      </c>
      <c r="D4">
        <f>COUNTIFS(E:E,"地图系统",D:D,"中")</f>
        <v/>
      </c>
      <c r="E4">
        <f>COUNTIFS(E:E,"地图系统",D:D,"低")</f>
        <v/>
      </c>
    </row>
    <row r="5">
      <c r="A5" t="inlineStr">
        <is>
          <t>Agent系统</t>
        </is>
      </c>
      <c r="B5">
        <f>COUNTIF(E:E,"Agent系统")</f>
        <v/>
      </c>
      <c r="C5">
        <f>COUNTIFS(E:E,"Agent系统",D:D,"高")</f>
        <v/>
      </c>
      <c r="D5">
        <f>COUNTIFS(E:E,"Agent系统",D:D,"中")</f>
        <v/>
      </c>
      <c r="E5">
        <f>COUNTIFS(E:E,"Agent系统",D:D,"低")</f>
        <v/>
      </c>
    </row>
    <row r="6">
      <c r="A6" t="inlineStr">
        <is>
          <t>邀请系统</t>
        </is>
      </c>
      <c r="B6">
        <f>COUNTIF(E:E,"邀请系统")</f>
        <v/>
      </c>
      <c r="C6">
        <f>COUNTIFS(E:E,"邀请系统",D:D,"高")</f>
        <v/>
      </c>
      <c r="D6">
        <f>COUNTIFS(E:E,"邀请系统",D:D,"中")</f>
        <v/>
      </c>
      <c r="E6">
        <f>COUNTIFS(E:E,"邀请系统",D:D,"低")</f>
        <v/>
      </c>
    </row>
    <row r="7">
      <c r="A7" t="inlineStr">
        <is>
          <t>俱乐部系统</t>
        </is>
      </c>
      <c r="B7">
        <f>COUNTIF(E:E,"俱乐部系统")</f>
        <v/>
      </c>
      <c r="C7">
        <f>COUNTIFS(E:E,"俱乐部系统",D:D,"高")</f>
        <v/>
      </c>
      <c r="D7">
        <f>COUNTIFS(E:E,"俱乐部系统",D:D,"中")</f>
        <v/>
      </c>
      <c r="E7">
        <f>COUNTIFS(E:E,"俱乐部系统",D:D,"低")</f>
        <v/>
      </c>
    </row>
    <row r="8">
      <c r="A8" t="inlineStr">
        <is>
          <t>商城系统</t>
        </is>
      </c>
      <c r="B8">
        <f>COUNTIF(E:E,"商城系统")</f>
        <v/>
      </c>
      <c r="C8">
        <f>COUNTIFS(E:E,"商城系统",D:D,"高")</f>
        <v/>
      </c>
      <c r="D8">
        <f>COUNTIFS(E:E,"商城系统",D:D,"中")</f>
        <v/>
      </c>
      <c r="E8">
        <f>COUNTIFS(E:E,"商城系统",D:D,"低")</f>
        <v/>
      </c>
    </row>
    <row r="9">
      <c r="A9" t="inlineStr">
        <is>
          <t>金币系统</t>
        </is>
      </c>
      <c r="B9">
        <f>COUNTIF(E:E,"金币系统")</f>
        <v/>
      </c>
      <c r="C9">
        <f>COUNTIFS(E:E,"金币系统",D:D,"高")</f>
        <v/>
      </c>
      <c r="D9">
        <f>COUNTIFS(E:E,"金币系统",D:D,"中")</f>
        <v/>
      </c>
      <c r="E9">
        <f>COUNTIFS(E:E,"金币系统",D:D,"低")</f>
        <v/>
      </c>
    </row>
    <row r="10">
      <c r="A10" t="inlineStr">
        <is>
          <t>后台管理系统</t>
        </is>
      </c>
      <c r="B10">
        <f>COUNTIF(E:E,"后台管理系统")</f>
        <v/>
      </c>
      <c r="C10">
        <f>COUNTIFS(E:E,"后台管理系统",D:D,"高")</f>
        <v/>
      </c>
      <c r="D10">
        <f>COUNTIFS(E:E,"后台管理系统",D:D,"中")</f>
        <v/>
      </c>
      <c r="E10">
        <f>COUNTIFS(E:E,"后台管理系统",D:D,"低")</f>
        <v/>
      </c>
    </row>
    <row r="11">
      <c r="A11" t="inlineStr">
        <is>
          <t>OpenIM二改</t>
        </is>
      </c>
      <c r="B11">
        <f>COUNTIF(E:E,"OpenIM二改")</f>
        <v/>
      </c>
      <c r="C11">
        <f>COUNTIFS(E:E,"OpenIM二改",D:D,"高")</f>
        <v/>
      </c>
      <c r="D11">
        <f>COUNTIFS(E:E,"OpenIM二改",D:D,"中")</f>
        <v/>
      </c>
      <c r="E11">
        <f>COUNTIFS(E:E,"OpenIM二改",D:D,"低")</f>
        <v/>
      </c>
    </row>
    <row r="12">
      <c r="A12" t="inlineStr">
        <is>
          <t>非功能性需求</t>
        </is>
      </c>
      <c r="B12">
        <f>COUNTIF(E:E,"非功能性需求")</f>
        <v/>
      </c>
      <c r="C12">
        <f>COUNTIFS(E:E,"非功能性需求",D:D,"高")</f>
        <v/>
      </c>
      <c r="D12">
        <f>COUNTIFS(E:E,"非功能性需求",D:D,"中")</f>
        <v/>
      </c>
      <c r="E12">
        <f>COUNTIFS(E:E,"非功能性需求",D:D,"低")</f>
        <v/>
      </c>
    </row>
    <row r="13">
      <c r="A13" t="inlineStr">
        <is>
          <t>第三方服务</t>
        </is>
      </c>
      <c r="B13">
        <f>COUNTIF(E:E,"第三方服务")</f>
        <v/>
      </c>
      <c r="C13">
        <f>COUNTIFS(E:E,"第三方服务",D:D,"高")</f>
        <v/>
      </c>
      <c r="D13">
        <f>COUNTIFS(E:E,"第三方服务",D:D,"中")</f>
        <v/>
      </c>
      <c r="E13">
        <f>COUNTIFS(E:E,"第三方服务",D:D,"低")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2026-06-22T07:32:43Z</dcterms:created>
  <dcterms:modified xsi:type="dcterms:W3CDTF">2026-06-22T07:32:43Z</dcterms:modified>
</cp:coreProperties>
</file>